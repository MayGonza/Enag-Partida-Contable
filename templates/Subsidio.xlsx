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helma Vasquez\Recursos Humanos 2026\Calculo Subsidio Incapacidad IHSS\"/>
    </mc:Choice>
  </mc:AlternateContent>
  <xr:revisionPtr revIDLastSave="0" documentId="13_ncr:1_{DF52F4F9-77D8-4F4D-9EFC-A6D5700B2E94}" xr6:coauthVersionLast="47" xr6:coauthVersionMax="47" xr10:uidLastSave="{00000000-0000-0000-0000-000000000000}"/>
  <bookViews>
    <workbookView xWindow="-120" yWindow="-120" windowWidth="29040" windowHeight="15720" xr2:uid="{9B564446-A965-4F87-9F90-142B97061E68}"/>
  </bookViews>
  <sheets>
    <sheet name="Hoja1" sheetId="1" r:id="rId1"/>
  </sheets>
  <definedNames>
    <definedName name="_xlnm.Print_Area" localSheetId="0">Hoja1!$A$1:$F$41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19" i="1"/>
  <c r="B16" i="1"/>
  <c r="C13" i="1"/>
</calcChain>
</file>

<file path=xl/sharedStrings.xml><?xml version="1.0" encoding="utf-8"?>
<sst xmlns="http://schemas.openxmlformats.org/spreadsheetml/2006/main" count="17" uniqueCount="17">
  <si>
    <t>Calculo de Subsidio de Incapacidad IHSS</t>
  </si>
  <si>
    <t>Techo subsidio actualizado junio 2026 L. 11,903.13</t>
  </si>
  <si>
    <t>Fecha Incapacidad</t>
  </si>
  <si>
    <t>Paso 1</t>
  </si>
  <si>
    <t>Meses</t>
  </si>
  <si>
    <t>Dias</t>
  </si>
  <si>
    <t>Paso 2</t>
  </si>
  <si>
    <t>Subsidio por 3 meses/la sumatoria de los dias del paso 1 para obtener el subsidio diario.</t>
  </si>
  <si>
    <t>28/06/2026 al 07/07/2026</t>
  </si>
  <si>
    <t>mayo</t>
  </si>
  <si>
    <t>abril</t>
  </si>
  <si>
    <t>marzo</t>
  </si>
  <si>
    <t xml:space="preserve">Paso 3 </t>
  </si>
  <si>
    <t>subsidio diario  por el porcentaje que corresponde al patrono y al IHSS</t>
  </si>
  <si>
    <t>Porcentaje de subsidio</t>
  </si>
  <si>
    <t>34% Patrono</t>
  </si>
  <si>
    <t>66% IHSS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</si>
</sst>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L&quot;* #,##0.00_-;\-&quot;L&quot;* #,##0.00_-;_-&quot;L&quot;* &quot;-&quot;??_-;_-@_-"/>
  </numFmts>
  <fonts count="2" x14ac:knownFonts="1"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wrapText="1"/>
    </xf>
    <xf numFmtId="44" fontId="0" fillId="0" borderId="0" xfId="0" applyNumberFormat="1" applyAlignment="1">
      <alignment horizontal="left"/>
    </xf>
    <xf numFmtId="4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1C7F6-B799-4F1F-A7BA-0C509BB9BEB7}">
  <dimension ref="A1:H24"/>
  <sheetViews>
    <sheetView tabSelected="1" view="pageBreakPreview" zoomScale="120" zoomScaleNormal="100" zoomScaleSheetLayoutView="120" workbookViewId="0">
      <selection activeCell="E15" sqref="E15"/>
    </sheetView>
  </sheetViews>
  <sheetFormatPr baseColWidth="10" defaultRowHeight="15" x14ac:dyDescent="0.2"/>
  <cols>
    <col min="1" max="1" width="22.44140625" customWidth="1"/>
  </cols>
  <sheetData>
    <row r="1" spans="1:8" ht="15.75" x14ac:dyDescent="0.25">
      <c r="A1" s="2" t="s">
        <v>1</v>
      </c>
    </row>
    <row r="2" spans="1:8" ht="15.75" x14ac:dyDescent="0.25">
      <c r="A2" s="2"/>
    </row>
    <row r="4" spans="1:8" ht="15.75" x14ac:dyDescent="0.25">
      <c r="A4" s="4" t="s">
        <v>0</v>
      </c>
      <c r="B4" s="4"/>
      <c r="C4" s="4"/>
      <c r="D4" s="4"/>
      <c r="E4" s="4"/>
      <c r="F4" s="4"/>
      <c r="G4" s="1"/>
      <c r="H4" s="1"/>
    </row>
    <row r="6" spans="1:8" ht="18.75" customHeight="1" x14ac:dyDescent="0.2">
      <c r="A6" s="6"/>
      <c r="B6" s="5"/>
    </row>
    <row r="7" spans="1:8" ht="15.75" x14ac:dyDescent="0.25">
      <c r="A7" s="14" t="s">
        <v>2</v>
      </c>
      <c r="B7" s="11" t="s">
        <v>8</v>
      </c>
      <c r="C7" s="11"/>
      <c r="D7" s="11"/>
    </row>
    <row r="9" spans="1:8" ht="15.75" x14ac:dyDescent="0.25">
      <c r="A9" s="3" t="s">
        <v>3</v>
      </c>
      <c r="B9" s="7" t="s">
        <v>4</v>
      </c>
      <c r="C9" s="7" t="s">
        <v>5</v>
      </c>
    </row>
    <row r="10" spans="1:8" x14ac:dyDescent="0.2">
      <c r="B10" s="6" t="s">
        <v>9</v>
      </c>
      <c r="C10">
        <v>31</v>
      </c>
    </row>
    <row r="11" spans="1:8" x14ac:dyDescent="0.2">
      <c r="B11" s="6" t="s">
        <v>10</v>
      </c>
      <c r="C11">
        <v>30</v>
      </c>
    </row>
    <row r="12" spans="1:8" x14ac:dyDescent="0.2">
      <c r="B12" s="6" t="s">
        <v>11</v>
      </c>
      <c r="C12" s="8">
        <v>31</v>
      </c>
    </row>
    <row r="13" spans="1:8" x14ac:dyDescent="0.2">
      <c r="C13">
        <f>SUM(C10:C12)</f>
        <v>92</v>
      </c>
    </row>
    <row r="15" spans="1:8" ht="15.75" x14ac:dyDescent="0.25">
      <c r="A15" s="3" t="s">
        <v>6</v>
      </c>
      <c r="B15" s="9"/>
    </row>
    <row r="16" spans="1:8" ht="60" x14ac:dyDescent="0.2">
      <c r="A16" s="10" t="s">
        <v>7</v>
      </c>
      <c r="B16" s="15">
        <f>(11903.13*3)/C13</f>
        <v>388.14554347826089</v>
      </c>
      <c r="C16" s="15"/>
      <c r="D16" s="15"/>
      <c r="E16" s="15"/>
    </row>
    <row r="17" spans="1:5" x14ac:dyDescent="0.2">
      <c r="A17" s="10"/>
      <c r="B17" s="5"/>
      <c r="C17" s="5"/>
      <c r="D17" s="5"/>
      <c r="E17" s="5"/>
    </row>
    <row r="18" spans="1:5" ht="15.75" x14ac:dyDescent="0.2">
      <c r="A18" s="13" t="s">
        <v>12</v>
      </c>
      <c r="B18" s="5"/>
      <c r="C18" s="5"/>
      <c r="D18" s="5"/>
      <c r="E18" s="5"/>
    </row>
    <row r="19" spans="1:5" ht="60" x14ac:dyDescent="0.2">
      <c r="A19" s="12" t="s">
        <v>13</v>
      </c>
      <c r="B19" s="16">
        <f>(388.15*34%)*7</f>
        <v>923.79700000000003</v>
      </c>
      <c r="C19" s="16"/>
      <c r="D19" s="16"/>
      <c r="E19" s="16"/>
    </row>
    <row r="20" spans="1:5" ht="33" customHeight="1" x14ac:dyDescent="0.2">
      <c r="B20" s="16">
        <f>(388.15*66%)*7</f>
        <v>1793.2529999999997</v>
      </c>
      <c r="C20" s="16"/>
      <c r="D20" s="16"/>
      <c r="E20" s="16"/>
    </row>
    <row r="22" spans="1:5" x14ac:dyDescent="0.2">
      <c r="A22" t="s">
        <v>14</v>
      </c>
    </row>
    <row r="23" spans="1:5" x14ac:dyDescent="0.2">
      <c r="A23" t="s">
        <v>15</v>
      </c>
    </row>
    <row r="24" spans="1:5" x14ac:dyDescent="0.2">
      <c r="A24" t="s">
        <v>16</v>
      </c>
    </row>
  </sheetData>
  <mergeCells count="5">
    <mergeCell ref="A4:F4"/>
    <mergeCell ref="B7:D7"/>
    <mergeCell ref="B16:E16"/>
    <mergeCell ref="B19:E19"/>
    <mergeCell ref="B20:E20"/>
  </mergeCells>
  <pageMargins left="0.7" right="0.7" top="0.75" bottom="0.75" header="0.3" footer="0.3"/>
  <pageSetup scale="94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Thelma Vásquez</dc:creator>
  <cp:lastModifiedBy>Thelma Vásquez</cp:lastModifiedBy>
  <dcterms:created xsi:type="dcterms:W3CDTF">2026-07-07T17:40:48Z</dcterms:created>
  <dcterms:modified xsi:type="dcterms:W3CDTF">2026-07-08T14:10:17Z</dcterms:modified>
</cp:coreProperties>
</file>